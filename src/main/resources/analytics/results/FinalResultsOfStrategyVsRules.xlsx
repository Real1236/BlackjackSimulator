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E:\Coding\BlackjackSimulator\src\main\resources\analytics\results\"/>
    </mc:Choice>
  </mc:AlternateContent>
  <xr:revisionPtr revIDLastSave="0" documentId="13_ncr:1_{D11B7410-DCA5-465F-82BB-A7C836FFD206}" xr6:coauthVersionLast="47" xr6:coauthVersionMax="47" xr10:uidLastSave="{00000000-0000-0000-0000-000000000000}"/>
  <bookViews>
    <workbookView xWindow="38280" yWindow="7710" windowWidth="29040" windowHeight="16440" xr2:uid="{00000000-000D-0000-FFFF-FFFF00000000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C5" i="1" l="1"/>
  <c r="C4" i="1" l="1"/>
  <c r="C3" i="1"/>
  <c r="D4" i="1"/>
  <c r="D3" i="1"/>
  <c r="D5" i="1" l="1"/>
</calcChain>
</file>

<file path=xl/sharedStrings.xml><?xml version="1.0" encoding="utf-8"?>
<sst xmlns="http://schemas.openxmlformats.org/spreadsheetml/2006/main" count="9" uniqueCount="9">
  <si>
    <t>Strategy</t>
  </si>
  <si>
    <t>Rules</t>
  </si>
  <si>
    <t>Standard</t>
  </si>
  <si>
    <t>FanDuel</t>
  </si>
  <si>
    <t>Basic</t>
  </si>
  <si>
    <t>Hi-Lo</t>
  </si>
  <si>
    <t>Custom</t>
  </si>
  <si>
    <t>Custom &gt;2 TC</t>
  </si>
  <si>
    <t>Hi-Lo &gt;2 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</si>
</sst>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textRotation="9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sic-Norma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Coding\BlackjackSimulator\src\main\resources\analytics\results\Basic-FanDuel.xlsx" TargetMode="External"/><Relationship Id="rId1" Type="http://schemas.openxmlformats.org/officeDocument/2006/relationships/externalLinkPath" Target="Basic-FanDue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Coding\BlackjackSimulator\src\main\resources\analytics\results\HiLo-Normal.xlsx" TargetMode="External"/><Relationship Id="rId1" Type="http://schemas.openxmlformats.org/officeDocument/2006/relationships/externalLinkPath" Target="HiLo-Normal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Coding\BlackjackSimulator\src\main\resources\analytics\results\HiLo-FanDuel.xlsx" TargetMode="External"/><Relationship Id="rId1" Type="http://schemas.openxmlformats.org/officeDocument/2006/relationships/externalLinkPath" Target="HiLo-FanDuel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Coding\BlackjackSimulator\src\main\resources\analytics\results\Custom-FanDuel.xlsx" TargetMode="External"/><Relationship Id="rId1" Type="http://schemas.openxmlformats.org/officeDocument/2006/relationships/externalLinkPath" Target="Custom-FanDuel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Coding\BlackjackSimulator\src\main\resources\analytics\results\Custom-Normal.xlsx" TargetMode="External"/><Relationship Id="rId1" Type="http://schemas.openxmlformats.org/officeDocument/2006/relationships/externalLinkPath" Target="Custom-Normal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Coding\BlackjackSimulator\src\main\resources\analytics\results\Custom-FanDuel-2+.xlsx" TargetMode="External"/><Relationship Id="rId1" Type="http://schemas.openxmlformats.org/officeDocument/2006/relationships/externalLinkPath" Target="Custom-FanDuel-2+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</sheetNames>
    <sheetDataSet>
      <sheetData sheetId="0">
        <row r="6">
          <cell r="Q6">
            <v>4.2810697019591845E-3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s"/>
    </sheetNames>
    <sheetDataSet>
      <sheetData sheetId="0">
        <row r="6">
          <cell r="Q6">
            <v>8.6301824988722683E-3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s"/>
    </sheetNames>
    <sheetDataSet>
      <sheetData sheetId="0">
        <row r="6">
          <cell r="Q6">
            <v>-4.2610998868965692E-3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s"/>
    </sheetNames>
    <sheetDataSet>
      <sheetData sheetId="0">
        <row r="6">
          <cell r="Q6">
            <v>4.8151161643456755E-3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s"/>
      <sheetName val="Results1"/>
      <sheetName val="Results2"/>
      <sheetName val="Results3"/>
      <sheetName val="Results4"/>
      <sheetName val="Results5"/>
      <sheetName val="Results6"/>
      <sheetName val="Results7"/>
      <sheetName val="Results8"/>
      <sheetName val="Results9"/>
      <sheetName val="Results10"/>
    </sheetNames>
    <sheetDataSet>
      <sheetData sheetId="0">
        <row r="11">
          <cell r="B11">
            <v>3.2476227506068453E-3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s"/>
      <sheetName val="Results1"/>
      <sheetName val="Results2"/>
      <sheetName val="Results3"/>
      <sheetName val="Results4"/>
      <sheetName val="Results5"/>
      <sheetName val="Results6"/>
      <sheetName val="Results7"/>
      <sheetName val="Results8"/>
      <sheetName val="Results9"/>
      <sheetName val="Results10"/>
    </sheetNames>
    <sheetDataSet>
      <sheetData sheetId="0">
        <row r="11">
          <cell r="B11">
            <v>-2.5169005874125664E-3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s"/>
      <sheetName val="Results1"/>
      <sheetName val="Results2"/>
      <sheetName val="Results3"/>
      <sheetName val="Results4"/>
      <sheetName val="Results5"/>
      <sheetName val="Results6"/>
      <sheetName val="Results7"/>
      <sheetName val="Results8"/>
      <sheetName val="Results9"/>
      <sheetName val="Results10"/>
    </sheetNames>
    <sheetDataSet>
      <sheetData sheetId="0">
        <row r="11">
          <cell r="B11">
            <v>-7.4210901656173349E-3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sqref="A1:B2"/>
    </sheetView>
  </sheetViews>
  <sheetFormatPr defaultColWidth="8.77734375" defaultRowHeight="14.4" x14ac:dyDescent="0.3"/>
  <cols>
    <col min="1" max="1" width="3.44140625" bestFit="1" customWidth="1"/>
    <col min="2" max="2" width="12.44140625" bestFit="1" customWidth="1"/>
  </cols>
  <sheetData>
    <row r="1" spans="1:4" x14ac:dyDescent="0.3">
      <c r="A1" s="3"/>
      <c r="B1" s="3"/>
      <c r="C1" s="3" t="s">
        <v>1</v>
      </c>
      <c r="D1" s="3"/>
    </row>
    <row r="2" spans="1:4" x14ac:dyDescent="0.3">
      <c r="A2" s="3"/>
      <c r="B2" s="3"/>
      <c r="C2" s="2" t="s">
        <v>2</v>
      </c>
      <c r="D2" s="2" t="s">
        <v>3</v>
      </c>
    </row>
    <row r="3" spans="1:4" ht="14.4" customHeight="1" x14ac:dyDescent="0.3">
      <c r="A3" s="4" t="s">
        <v>0</v>
      </c>
      <c r="B3" s="2" t="s">
        <v>4</v>
      </c>
      <c r="C3" s="1">
        <f>[1]Results!$Q$6</f>
        <v>4.2810697019591845E-3</v>
      </c>
      <c r="D3" s="1">
        <f>[2]Results!$Q$6</f>
        <v>8.6301824988722683E-3</v>
      </c>
    </row>
    <row r="4" spans="1:4" x14ac:dyDescent="0.3">
      <c r="A4" s="4"/>
      <c r="B4" s="2" t="s">
        <v>5</v>
      </c>
      <c r="C4" s="1">
        <f>[3]Results!$Q$6</f>
        <v>-4.2610998868965692E-3</v>
      </c>
      <c r="D4" s="1">
        <f>[4]Results!$Q$6</f>
        <v>4.8151161643456755E-3</v>
      </c>
    </row>
    <row r="5" spans="1:4" x14ac:dyDescent="0.3">
      <c r="A5" s="4"/>
      <c r="B5" s="2" t="s">
        <v>6</v>
      </c>
      <c r="C5" s="1">
        <f>[6]Results!$B$11</f>
        <v>-2.5169005874125664E-3</v>
      </c>
      <c r="D5" s="1">
        <f>[5]Results!$B$11</f>
        <v>3.2476227506068453E-3</v>
      </c>
    </row>
    <row r="6" spans="1:4" x14ac:dyDescent="0.3">
      <c r="A6" s="4"/>
      <c r="B6" s="2" t="s">
        <v>8</v>
      </c>
      <c r="C6" s="1"/>
      <c r="D6" s="1"/>
    </row>
    <row r="7" spans="1:4" x14ac:dyDescent="0.3">
      <c r="A7" s="4"/>
      <c r="B7" s="2" t="s">
        <v>7</v>
      </c>
      <c r="D7">
        <f ca="1">[7]Results!$B$11</f>
        <v>-7.4210901656173349E-3</v>
      </c>
    </row>
  </sheetData>
  <mergeCells count="3">
    <mergeCell ref="A1:B2"/>
    <mergeCell ref="C1:D1"/>
    <mergeCell ref="A3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Chan</dc:creator>
  <cp:lastModifiedBy>Arthur Zhi Han Chan</cp:lastModifiedBy>
  <dcterms:created xsi:type="dcterms:W3CDTF">2015-06-05T18:17:20Z</dcterms:created>
  <dcterms:modified xsi:type="dcterms:W3CDTF">2024-08-30T20:57:21Z</dcterms:modified>
</cp:coreProperties>
</file>